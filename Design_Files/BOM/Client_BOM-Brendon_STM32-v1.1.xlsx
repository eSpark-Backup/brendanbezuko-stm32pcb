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XPENDER\Documents\GitHub\brendanbezuko-stm32pcb\Design_Files\BOM\"/>
    </mc:Choice>
  </mc:AlternateContent>
  <bookViews>
    <workbookView xWindow="28680" yWindow="-120" windowWidth="29040" windowHeight="1584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B34" i="1" l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<sst xmlns="http://schemas.openxmlformats.org/spreadsheetml/2006/main" count="265" uniqueCount="174">
  <si>
    <t>#</t>
  </si>
  <si>
    <t>Item Type</t>
  </si>
  <si>
    <t>Capacitor</t>
  </si>
  <si>
    <t>Diode</t>
  </si>
  <si>
    <t>Jtag Male Header</t>
  </si>
  <si>
    <t>JST Connector</t>
  </si>
  <si>
    <t>Female Header R/A</t>
  </si>
  <si>
    <t>7-Segment LED</t>
  </si>
  <si>
    <t>Mosfet</t>
  </si>
  <si>
    <t>Resistor</t>
  </si>
  <si>
    <t>Potentiometer</t>
  </si>
  <si>
    <t>Switch</t>
  </si>
  <si>
    <t>IC</t>
  </si>
  <si>
    <t>Crystal</t>
  </si>
  <si>
    <t>Designator</t>
  </si>
  <si>
    <t>C1, C3, C6, C7, C8, C9, C10, C14, C15, C16, C21, C22, C23, C24, C25, C26, C27, C28, C29</t>
  </si>
  <si>
    <t>C2, C4</t>
  </si>
  <si>
    <t>C5</t>
  </si>
  <si>
    <t>C11, C12, C13</t>
  </si>
  <si>
    <t>C17, C18, C19, C20</t>
  </si>
  <si>
    <t>D1</t>
  </si>
  <si>
    <t>FD1, FD2, FD3</t>
  </si>
  <si>
    <t>J1, J5, J6, J7</t>
  </si>
  <si>
    <t>J3</t>
  </si>
  <si>
    <t>J4</t>
  </si>
  <si>
    <t>J8</t>
  </si>
  <si>
    <t>LED1</t>
  </si>
  <si>
    <t>LS1</t>
  </si>
  <si>
    <t>Q1</t>
  </si>
  <si>
    <t>Q2</t>
  </si>
  <si>
    <t>Q3</t>
  </si>
  <si>
    <t>R1</t>
  </si>
  <si>
    <t>R2</t>
  </si>
  <si>
    <t>R3</t>
  </si>
  <si>
    <t>R4</t>
  </si>
  <si>
    <t>R5, R6, R9, R10, R15, R19, R20, R21, R22, R23, R24, R25, R26, R27</t>
  </si>
  <si>
    <t>R7, R8</t>
  </si>
  <si>
    <t>R11</t>
  </si>
  <si>
    <t>R12</t>
  </si>
  <si>
    <t>R18</t>
  </si>
  <si>
    <t>SW1</t>
  </si>
  <si>
    <t>U1</t>
  </si>
  <si>
    <t>U2</t>
  </si>
  <si>
    <t>U3, U5</t>
  </si>
  <si>
    <t>U4, U6</t>
  </si>
  <si>
    <t>X1</t>
  </si>
  <si>
    <t>X2</t>
  </si>
  <si>
    <t>Description</t>
  </si>
  <si>
    <t>Multilayer Ceramic Capacitor, 0.1 uF, 50 V, ± 10%, X7R, 0805 [2012 Metric]</t>
  </si>
  <si>
    <t>Multilayer Ceramic Capacitor, 10 uF, 16 V, ± 10%, X5R, 0805 [2012 Metric]</t>
  </si>
  <si>
    <t>Multilayer Ceramic Capacitor, 0.022 uF, 50 V, ± 10%, X7R, 0805 [2012 Metric]</t>
  </si>
  <si>
    <t>Multilayer Ceramic Capacitor, 1 uF, 25 V, ± 10%, X7R, 0805 [2012 Metric]</t>
  </si>
  <si>
    <t>Cap Cer 0805 20PF 50V Ultra Stab</t>
  </si>
  <si>
    <t>Rectifier Diode Switching 200V 2A 35ns 2-Pin SMB T/R</t>
  </si>
  <si>
    <t>CONN HEADER VERT 2POS 2.54MM</t>
  </si>
  <si>
    <t>CONN HEADER SMD 10POS 1.27MM</t>
  </si>
  <si>
    <t>CONN HEADER VERT 4POS 2.54MM</t>
  </si>
  <si>
    <t>CONN HDR 9POS 0.1 TIN PCB R/A</t>
  </si>
  <si>
    <t>DISPLAY 7SEG 0.56" DBL RED 20SMD</t>
  </si>
  <si>
    <t>12.8 mm, 5 V, 88 dB, 2.4 kHz, Surface Mount (SMT), Driving Circuit, Magnetic Audio Indicator Buzzer</t>
  </si>
  <si>
    <t>TRANS NPN 30V 0.1A SOT23</t>
  </si>
  <si>
    <t>30V 4.1A 60mΩ@10V,4.1A 350mW 3V@250uA P Channel SOT-23 MOSFETs ROHS</t>
  </si>
  <si>
    <t>40V 100mW 100@10mA,1V 200mA 300MHz 300mV@50mA,5mA NPN -55℃~+150℃@(Tj) SOT-723 Bipolar Transistors - BJT ROHS</t>
  </si>
  <si>
    <t>RES 172K OHM 0.1% 1/10W 0603</t>
  </si>
  <si>
    <t>RES SMD 1K OHM 1% 1/10W 0603</t>
  </si>
  <si>
    <t>Res Thin Film 0805 390 Ohm 0.1% 1/10W ±25ppm/°C Molded SMD SMD Paper T/R</t>
  </si>
  <si>
    <t>Potentiometer RV4 Series 1 Turn 50K Ohms 10% Tol Power 2W Slotted 0.875 In Shaft</t>
  </si>
  <si>
    <t>RES SMD 100 OHM 1% 1/10W 0603</t>
  </si>
  <si>
    <t>SMD Chip Resistor, 10 kOhm, ± 5%, 125 mW, 0805 [2012 Metric], Thick Film, General Purpose</t>
  </si>
  <si>
    <t>RES SMD 4.7K OHM 5% 1/10W 0603</t>
  </si>
  <si>
    <t>RES 330K OHM 1% 1/10W 0603</t>
  </si>
  <si>
    <t>RES 1K OHM 1% 1/8W 0805</t>
  </si>
  <si>
    <t>SWITCH TACTILE SPST-NO 0.05A 12V</t>
  </si>
  <si>
    <t>IC REG LDO 3.3V 0.3A SOT23-5</t>
  </si>
  <si>
    <t>IC MCU 32BIT 64KB FLASH 100LQFP</t>
  </si>
  <si>
    <t>IC 8-BIT TRNSLTR 15KV ESD 20VQFN</t>
  </si>
  <si>
    <t>Crystal 8.0MHZ 16PF SMD</t>
  </si>
  <si>
    <t>CRYSTAL 32.7680KHZ 6PF SMD</t>
  </si>
  <si>
    <t>Footprint</t>
  </si>
  <si>
    <t>Cap-0805</t>
  </si>
  <si>
    <t>DO-214AA (SMB)</t>
  </si>
  <si>
    <t>Fiducial mark</t>
  </si>
  <si>
    <t>HDR 1x9 Female R/A</t>
  </si>
  <si>
    <t>ACDC56-41SURKWA-F01</t>
  </si>
  <si>
    <t>CT-1205CL-SMT-TR</t>
  </si>
  <si>
    <t>SOT-23</t>
  </si>
  <si>
    <t>SOT-723</t>
  </si>
  <si>
    <t>Res-0603</t>
  </si>
  <si>
    <t>RES-0805</t>
  </si>
  <si>
    <t>RV4NAYSD503A</t>
  </si>
  <si>
    <t>B3U-1000P</t>
  </si>
  <si>
    <t>SOT-23-5</t>
  </si>
  <si>
    <t>LQFP-100</t>
  </si>
  <si>
    <t>20-VFQFN Exposed Pad</t>
  </si>
  <si>
    <t>J49SMH-B-G-G-K-8M0</t>
  </si>
  <si>
    <t>MU00525-32.768K</t>
  </si>
  <si>
    <t>Manufacturer Part Number</t>
  </si>
  <si>
    <t>CL21B104KBCNNNC</t>
  </si>
  <si>
    <t>CL21A106KOQNNNE</t>
  </si>
  <si>
    <t>CL21B223KBANNNC</t>
  </si>
  <si>
    <t>CL21B105KAFNNNE</t>
  </si>
  <si>
    <t>C0805C200J5HAC7800</t>
  </si>
  <si>
    <t>MURS120-E3/5BT</t>
  </si>
  <si>
    <t>20021121-00010C4LF</t>
  </si>
  <si>
    <t>PPTC091LGBN-RC</t>
  </si>
  <si>
    <t>BC849C-TP</t>
  </si>
  <si>
    <t>AO3407</t>
  </si>
  <si>
    <t>MMBT3904M</t>
  </si>
  <si>
    <t>RT0603BRD07172KL</t>
  </si>
  <si>
    <t>RC0603FR-071KL</t>
  </si>
  <si>
    <t>CPF0805B390RE1</t>
  </si>
  <si>
    <t>RC0603FR-07100RL</t>
  </si>
  <si>
    <t>AC0805JR-0710KL</t>
  </si>
  <si>
    <t>RC0603JR-074K7L</t>
  </si>
  <si>
    <t>RC0603FR-07330KL</t>
  </si>
  <si>
    <t>RC0805FR-071KL</t>
  </si>
  <si>
    <t>RT9193-33GB</t>
  </si>
  <si>
    <t>STM32L071V8T6</t>
  </si>
  <si>
    <t>TXB0108RGYR</t>
  </si>
  <si>
    <t>Manufacturer</t>
  </si>
  <si>
    <t>Samsung</t>
  </si>
  <si>
    <t>KEMET</t>
  </si>
  <si>
    <t>Vishay Semiconductors</t>
  </si>
  <si>
    <t>Molex</t>
  </si>
  <si>
    <t>Amphenol FCI</t>
  </si>
  <si>
    <t>Sullins</t>
  </si>
  <si>
    <t>Kingbright</t>
  </si>
  <si>
    <t>CUI</t>
  </si>
  <si>
    <t>MCC</t>
  </si>
  <si>
    <t>Guangdong Hottech</t>
  </si>
  <si>
    <t>TECH PUBLIC</t>
  </si>
  <si>
    <t>Yageo</t>
  </si>
  <si>
    <t>TE Connectivity Neohm</t>
  </si>
  <si>
    <t>Precision Electronic Components</t>
  </si>
  <si>
    <t>Omron</t>
  </si>
  <si>
    <t>Richtek</t>
  </si>
  <si>
    <t>STMicroelectronics</t>
  </si>
  <si>
    <t>ON Semiconductor</t>
  </si>
  <si>
    <t>Texas Instruments</t>
  </si>
  <si>
    <t>Jauch</t>
  </si>
  <si>
    <t>NDK</t>
  </si>
  <si>
    <t>0.1uF</t>
  </si>
  <si>
    <t>10uF</t>
  </si>
  <si>
    <t>22nF</t>
  </si>
  <si>
    <t>1uF</t>
  </si>
  <si>
    <t>20pF</t>
  </si>
  <si>
    <t>172k</t>
  </si>
  <si>
    <t>1K</t>
  </si>
  <si>
    <t>390R</t>
  </si>
  <si>
    <t>50K</t>
  </si>
  <si>
    <t>100R</t>
  </si>
  <si>
    <t>10K</t>
  </si>
  <si>
    <t>4.7K</t>
  </si>
  <si>
    <t>330K</t>
  </si>
  <si>
    <t>8MHz</t>
  </si>
  <si>
    <t>32.768KHz</t>
  </si>
  <si>
    <t>Quantity</t>
  </si>
  <si>
    <t>Value</t>
  </si>
  <si>
    <t>Remarks</t>
  </si>
  <si>
    <t>Buzzer</t>
  </si>
  <si>
    <t>Do Not Mount</t>
  </si>
  <si>
    <t>Header</t>
  </si>
  <si>
    <t>SMD(Custom)</t>
  </si>
  <si>
    <t>Through Hole (Custom)</t>
  </si>
  <si>
    <t>-</t>
  </si>
  <si>
    <t>Peripheral</t>
  </si>
  <si>
    <t>Radio Module 437MHz</t>
  </si>
  <si>
    <t>Link</t>
  </si>
  <si>
    <t>Alibaba</t>
  </si>
  <si>
    <t>Through Hole-2.54mm</t>
  </si>
  <si>
    <t>Through Hole-1.27mm</t>
  </si>
  <si>
    <t>MC14511BDG; Decoder; Driver; Latch; Non-Inverting; 3 - 18 V; 16-Pin SOIC</t>
  </si>
  <si>
    <t>16-SOIC (0.154", 3.90mm Width)</t>
  </si>
  <si>
    <t>MC14511BDG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</si>
</sst>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0" fillId="0" borderId="8" xfId="0" applyBorder="1"/>
    <xf numFmtId="0" fontId="1" fillId="2" borderId="1" xfId="0" applyFont="1" applyFill="1" applyBorder="1" applyAlignment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wrapText="1"/>
    </xf>
    <xf numFmtId="0" fontId="3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9" xfId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inese.alibaba.com/product-detail/433-mhz-500mw-1km-reach-transceivers-30000339998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5"/>
  <sheetViews>
    <sheetView tabSelected="1" zoomScale="85" zoomScaleNormal="85" workbookViewId="0">
      <selection activeCell="D39" sqref="D3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style="23" customWidth="1"/>
    <col min="6" max="6" width="26.5703125" bestFit="1" customWidth="1"/>
    <col min="7" max="7" width="36.5703125" style="20" customWidth="1"/>
    <col min="8" max="8" width="21.42578125" bestFit="1" customWidth="1"/>
    <col min="9" max="9" width="17.85546875" bestFit="1" customWidth="1"/>
    <col min="10" max="10" width="16.7109375" bestFit="1" customWidth="1"/>
    <col min="11" max="11" width="16.7109375" style="4" customWidth="1"/>
    <col min="12" max="12" width="29.42578125" customWidth="1"/>
  </cols>
  <sheetData>
    <row r="1" spans="1:12" ht="15.75" thickBot="1" x14ac:dyDescent="0.3">
      <c r="A1" s="1"/>
      <c r="B1" s="3"/>
      <c r="C1" s="3"/>
      <c r="D1" s="2"/>
      <c r="E1" s="21"/>
      <c r="F1" s="2"/>
      <c r="G1" s="17"/>
      <c r="H1" s="2"/>
      <c r="I1" s="25"/>
      <c r="J1" s="25"/>
      <c r="K1" s="25"/>
      <c r="L1" s="25"/>
    </row>
    <row r="2" spans="1:12" ht="15.75" thickBot="1" x14ac:dyDescent="0.3">
      <c r="A2" s="1"/>
      <c r="B2" s="5" t="s">
        <v>0</v>
      </c>
      <c r="C2" s="5" t="s">
        <v>1</v>
      </c>
      <c r="D2" s="5" t="s">
        <v>14</v>
      </c>
      <c r="E2" s="22" t="s">
        <v>47</v>
      </c>
      <c r="F2" s="5" t="s">
        <v>78</v>
      </c>
      <c r="G2" s="6" t="s">
        <v>96</v>
      </c>
      <c r="H2" s="5" t="s">
        <v>119</v>
      </c>
      <c r="I2" s="6" t="s">
        <v>157</v>
      </c>
      <c r="J2" s="5" t="s">
        <v>156</v>
      </c>
      <c r="K2" s="5" t="s">
        <v>167</v>
      </c>
      <c r="L2" s="5" t="s">
        <v>158</v>
      </c>
    </row>
    <row r="3" spans="1:12" ht="24.75" thickBot="1" x14ac:dyDescent="0.3">
      <c r="A3" s="1"/>
      <c r="B3" s="11">
        <f>ROW(B3) - ROW($B$2)</f>
        <v>1</v>
      </c>
      <c r="C3" s="12" t="s">
        <v>2</v>
      </c>
      <c r="D3" s="7" t="s">
        <v>15</v>
      </c>
      <c r="E3" s="8" t="s">
        <v>48</v>
      </c>
      <c r="F3" s="7" t="s">
        <v>79</v>
      </c>
      <c r="G3" s="18" t="s">
        <v>97</v>
      </c>
      <c r="H3" s="7" t="s">
        <v>120</v>
      </c>
      <c r="I3" s="8" t="s">
        <v>141</v>
      </c>
      <c r="J3" s="7">
        <v>19</v>
      </c>
      <c r="K3" s="7" t="s">
        <v>164</v>
      </c>
      <c r="L3" s="7"/>
    </row>
    <row r="4" spans="1:12" ht="24.75" thickBot="1" x14ac:dyDescent="0.3">
      <c r="A4" s="1"/>
      <c r="B4" s="11">
        <f t="shared" ref="B4:B34" si="0">ROW(B4) - ROW($B$2)</f>
        <v>2</v>
      </c>
      <c r="C4" s="13" t="s">
        <v>2</v>
      </c>
      <c r="D4" s="9" t="s">
        <v>16</v>
      </c>
      <c r="E4" s="10" t="s">
        <v>49</v>
      </c>
      <c r="F4" s="9" t="s">
        <v>79</v>
      </c>
      <c r="G4" s="19" t="s">
        <v>98</v>
      </c>
      <c r="H4" s="9" t="s">
        <v>120</v>
      </c>
      <c r="I4" s="10" t="s">
        <v>142</v>
      </c>
      <c r="J4" s="9">
        <v>2</v>
      </c>
      <c r="K4" s="7" t="s">
        <v>164</v>
      </c>
      <c r="L4" s="9"/>
    </row>
    <row r="5" spans="1:12" ht="36.75" thickBot="1" x14ac:dyDescent="0.3">
      <c r="A5" s="1"/>
      <c r="B5" s="11">
        <f>ROW(B5) - ROW($B$2)</f>
        <v>3</v>
      </c>
      <c r="C5" s="12" t="s">
        <v>2</v>
      </c>
      <c r="D5" s="7" t="s">
        <v>17</v>
      </c>
      <c r="E5" s="8" t="s">
        <v>50</v>
      </c>
      <c r="F5" s="7" t="s">
        <v>79</v>
      </c>
      <c r="G5" s="18" t="s">
        <v>99</v>
      </c>
      <c r="H5" s="7" t="s">
        <v>120</v>
      </c>
      <c r="I5" s="8" t="s">
        <v>143</v>
      </c>
      <c r="J5" s="7">
        <v>1</v>
      </c>
      <c r="K5" s="7" t="s">
        <v>164</v>
      </c>
      <c r="L5" s="7"/>
    </row>
    <row r="6" spans="1:12" ht="24.75" thickBot="1" x14ac:dyDescent="0.3">
      <c r="A6" s="1"/>
      <c r="B6" s="11">
        <f t="shared" si="0"/>
        <v>4</v>
      </c>
      <c r="C6" s="13" t="s">
        <v>2</v>
      </c>
      <c r="D6" s="9" t="s">
        <v>18</v>
      </c>
      <c r="E6" s="10" t="s">
        <v>51</v>
      </c>
      <c r="F6" s="9" t="s">
        <v>79</v>
      </c>
      <c r="G6" s="19" t="s">
        <v>100</v>
      </c>
      <c r="H6" s="9" t="s">
        <v>120</v>
      </c>
      <c r="I6" s="10" t="s">
        <v>144</v>
      </c>
      <c r="J6" s="9">
        <v>3</v>
      </c>
      <c r="K6" s="7" t="s">
        <v>164</v>
      </c>
      <c r="L6" s="9"/>
    </row>
    <row r="7" spans="1:12" ht="15.75" thickBot="1" x14ac:dyDescent="0.3">
      <c r="A7" s="1"/>
      <c r="B7" s="11">
        <f>ROW(B7) - ROW($B$2)</f>
        <v>5</v>
      </c>
      <c r="C7" s="12" t="s">
        <v>2</v>
      </c>
      <c r="D7" s="7" t="s">
        <v>19</v>
      </c>
      <c r="E7" s="8" t="s">
        <v>52</v>
      </c>
      <c r="F7" s="7" t="s">
        <v>79</v>
      </c>
      <c r="G7" s="18" t="s">
        <v>101</v>
      </c>
      <c r="H7" s="7" t="s">
        <v>121</v>
      </c>
      <c r="I7" s="8" t="s">
        <v>145</v>
      </c>
      <c r="J7" s="7">
        <v>4</v>
      </c>
      <c r="K7" s="7" t="s">
        <v>164</v>
      </c>
      <c r="L7" s="7"/>
    </row>
    <row r="8" spans="1:12" ht="24.75" thickBot="1" x14ac:dyDescent="0.3">
      <c r="A8" s="1"/>
      <c r="B8" s="11">
        <f t="shared" si="0"/>
        <v>6</v>
      </c>
      <c r="C8" s="13" t="s">
        <v>3</v>
      </c>
      <c r="D8" s="9" t="s">
        <v>20</v>
      </c>
      <c r="E8" s="10" t="s">
        <v>53</v>
      </c>
      <c r="F8" s="9" t="s">
        <v>80</v>
      </c>
      <c r="G8" s="19" t="s">
        <v>102</v>
      </c>
      <c r="H8" s="9" t="s">
        <v>122</v>
      </c>
      <c r="I8" s="14" t="s">
        <v>164</v>
      </c>
      <c r="J8" s="9">
        <v>1</v>
      </c>
      <c r="K8" s="7" t="s">
        <v>164</v>
      </c>
      <c r="L8" s="9"/>
    </row>
    <row r="9" spans="1:12" ht="15.75" thickBot="1" x14ac:dyDescent="0.3">
      <c r="A9" s="1"/>
      <c r="B9" s="11">
        <f>ROW(B9) - ROW($B$2)</f>
        <v>7</v>
      </c>
      <c r="C9" s="13" t="s">
        <v>81</v>
      </c>
      <c r="D9" s="15" t="s">
        <v>21</v>
      </c>
      <c r="E9" s="8"/>
      <c r="F9" s="7"/>
      <c r="G9" s="18"/>
      <c r="H9" s="7"/>
      <c r="I9" s="14" t="s">
        <v>164</v>
      </c>
      <c r="J9" s="15">
        <v>3</v>
      </c>
      <c r="K9" s="7" t="s">
        <v>164</v>
      </c>
      <c r="L9" s="15" t="s">
        <v>160</v>
      </c>
    </row>
    <row r="10" spans="1:12" ht="15.75" thickBot="1" x14ac:dyDescent="0.3">
      <c r="A10" s="1"/>
      <c r="B10" s="11">
        <f t="shared" si="0"/>
        <v>8</v>
      </c>
      <c r="C10" s="13" t="s">
        <v>161</v>
      </c>
      <c r="D10" s="9" t="s">
        <v>22</v>
      </c>
      <c r="E10" s="10" t="s">
        <v>54</v>
      </c>
      <c r="F10" s="9" t="s">
        <v>169</v>
      </c>
      <c r="G10" s="19">
        <v>22232021</v>
      </c>
      <c r="H10" s="9" t="s">
        <v>123</v>
      </c>
      <c r="I10" s="14" t="s">
        <v>164</v>
      </c>
      <c r="J10" s="9">
        <v>4</v>
      </c>
      <c r="K10" s="7" t="s">
        <v>164</v>
      </c>
      <c r="L10" s="9"/>
    </row>
    <row r="11" spans="1:12" ht="15.75" thickBot="1" x14ac:dyDescent="0.3">
      <c r="A11" s="1"/>
      <c r="B11" s="11">
        <f>ROW(B11) - ROW($B$2)</f>
        <v>9</v>
      </c>
      <c r="C11" s="12" t="s">
        <v>4</v>
      </c>
      <c r="D11" s="7" t="s">
        <v>23</v>
      </c>
      <c r="E11" s="8" t="s">
        <v>55</v>
      </c>
      <c r="F11" s="9" t="s">
        <v>170</v>
      </c>
      <c r="G11" s="18" t="s">
        <v>103</v>
      </c>
      <c r="H11" s="7" t="s">
        <v>124</v>
      </c>
      <c r="I11" s="14" t="s">
        <v>164</v>
      </c>
      <c r="J11" s="7">
        <v>1</v>
      </c>
      <c r="K11" s="7" t="s">
        <v>164</v>
      </c>
      <c r="L11" s="7"/>
    </row>
    <row r="12" spans="1:12" ht="15.75" thickBot="1" x14ac:dyDescent="0.3">
      <c r="A12" s="1"/>
      <c r="B12" s="11">
        <f t="shared" si="0"/>
        <v>10</v>
      </c>
      <c r="C12" s="13" t="s">
        <v>5</v>
      </c>
      <c r="D12" s="9" t="s">
        <v>24</v>
      </c>
      <c r="E12" s="10" t="s">
        <v>56</v>
      </c>
      <c r="F12" s="9" t="s">
        <v>169</v>
      </c>
      <c r="G12" s="19">
        <v>22232041</v>
      </c>
      <c r="H12" s="9" t="s">
        <v>123</v>
      </c>
      <c r="I12" s="14" t="s">
        <v>164</v>
      </c>
      <c r="J12" s="9">
        <v>1</v>
      </c>
      <c r="K12" s="7" t="s">
        <v>164</v>
      </c>
      <c r="L12" s="9"/>
    </row>
    <row r="13" spans="1:12" ht="15.75" thickBot="1" x14ac:dyDescent="0.3">
      <c r="A13" s="1"/>
      <c r="B13" s="11">
        <f>ROW(B13) - ROW($B$2)</f>
        <v>11</v>
      </c>
      <c r="C13" s="12" t="s">
        <v>6</v>
      </c>
      <c r="D13" s="7" t="s">
        <v>25</v>
      </c>
      <c r="E13" s="8" t="s">
        <v>57</v>
      </c>
      <c r="F13" s="7" t="s">
        <v>82</v>
      </c>
      <c r="G13" s="18" t="s">
        <v>104</v>
      </c>
      <c r="H13" s="7" t="s">
        <v>125</v>
      </c>
      <c r="I13" s="14" t="s">
        <v>164</v>
      </c>
      <c r="J13" s="7">
        <v>1</v>
      </c>
      <c r="K13" s="7" t="s">
        <v>164</v>
      </c>
      <c r="L13" s="7"/>
    </row>
    <row r="14" spans="1:12" ht="27.75" customHeight="1" thickBot="1" x14ac:dyDescent="0.3">
      <c r="A14" s="1"/>
      <c r="B14" s="11">
        <f t="shared" si="0"/>
        <v>12</v>
      </c>
      <c r="C14" s="13" t="s">
        <v>7</v>
      </c>
      <c r="D14" s="9" t="s">
        <v>26</v>
      </c>
      <c r="E14" s="10" t="s">
        <v>58</v>
      </c>
      <c r="F14" s="7" t="s">
        <v>162</v>
      </c>
      <c r="G14" s="19" t="s">
        <v>83</v>
      </c>
      <c r="H14" s="9" t="s">
        <v>126</v>
      </c>
      <c r="I14" s="14" t="s">
        <v>164</v>
      </c>
      <c r="J14" s="9">
        <v>1</v>
      </c>
      <c r="K14" s="7" t="s">
        <v>164</v>
      </c>
      <c r="L14" s="9"/>
    </row>
    <row r="15" spans="1:12" ht="36.75" thickBot="1" x14ac:dyDescent="0.3">
      <c r="A15" s="1"/>
      <c r="B15" s="11">
        <f>ROW(B15) - ROW($B$2)</f>
        <v>13</v>
      </c>
      <c r="C15" s="12" t="s">
        <v>159</v>
      </c>
      <c r="D15" s="7" t="s">
        <v>27</v>
      </c>
      <c r="E15" s="8" t="s">
        <v>59</v>
      </c>
      <c r="F15" s="7" t="s">
        <v>162</v>
      </c>
      <c r="G15" s="18" t="s">
        <v>84</v>
      </c>
      <c r="H15" s="7" t="s">
        <v>127</v>
      </c>
      <c r="I15" s="14" t="s">
        <v>164</v>
      </c>
      <c r="J15" s="7">
        <v>1</v>
      </c>
      <c r="K15" s="7" t="s">
        <v>164</v>
      </c>
      <c r="L15" s="7"/>
    </row>
    <row r="16" spans="1:12" ht="15.75" thickBot="1" x14ac:dyDescent="0.3">
      <c r="A16" s="1"/>
      <c r="B16" s="11">
        <f t="shared" si="0"/>
        <v>14</v>
      </c>
      <c r="C16" s="13" t="s">
        <v>8</v>
      </c>
      <c r="D16" s="9" t="s">
        <v>28</v>
      </c>
      <c r="E16" s="10" t="s">
        <v>60</v>
      </c>
      <c r="F16" s="9" t="s">
        <v>85</v>
      </c>
      <c r="G16" s="19" t="s">
        <v>105</v>
      </c>
      <c r="H16" s="9" t="s">
        <v>128</v>
      </c>
      <c r="I16" s="14" t="s">
        <v>164</v>
      </c>
      <c r="J16" s="9">
        <v>1</v>
      </c>
      <c r="K16" s="7" t="s">
        <v>164</v>
      </c>
      <c r="L16" s="9"/>
    </row>
    <row r="17" spans="1:12" ht="36.75" thickBot="1" x14ac:dyDescent="0.3">
      <c r="A17" s="1"/>
      <c r="B17" s="11">
        <f>ROW(B17) - ROW($B$2)</f>
        <v>15</v>
      </c>
      <c r="C17" s="12" t="s">
        <v>8</v>
      </c>
      <c r="D17" s="7" t="s">
        <v>29</v>
      </c>
      <c r="E17" s="8" t="s">
        <v>61</v>
      </c>
      <c r="F17" s="7" t="s">
        <v>85</v>
      </c>
      <c r="G17" s="18" t="s">
        <v>106</v>
      </c>
      <c r="H17" s="7" t="s">
        <v>129</v>
      </c>
      <c r="I17" s="14" t="s">
        <v>164</v>
      </c>
      <c r="J17" s="7">
        <v>1</v>
      </c>
      <c r="K17" s="7" t="s">
        <v>164</v>
      </c>
      <c r="L17" s="7"/>
    </row>
    <row r="18" spans="1:12" ht="53.25" customHeight="1" thickBot="1" x14ac:dyDescent="0.3">
      <c r="A18" s="1"/>
      <c r="B18" s="11">
        <f t="shared" si="0"/>
        <v>16</v>
      </c>
      <c r="C18" s="13" t="s">
        <v>8</v>
      </c>
      <c r="D18" s="9" t="s">
        <v>30</v>
      </c>
      <c r="E18" s="10" t="s">
        <v>62</v>
      </c>
      <c r="F18" s="9" t="s">
        <v>86</v>
      </c>
      <c r="G18" s="19" t="s">
        <v>107</v>
      </c>
      <c r="H18" s="9" t="s">
        <v>130</v>
      </c>
      <c r="I18" s="14" t="s">
        <v>164</v>
      </c>
      <c r="J18" s="9">
        <v>1</v>
      </c>
      <c r="K18" s="7" t="s">
        <v>164</v>
      </c>
      <c r="L18" s="9"/>
    </row>
    <row r="19" spans="1:12" ht="15.75" thickBot="1" x14ac:dyDescent="0.3">
      <c r="A19" s="1"/>
      <c r="B19" s="11">
        <f>ROW(B19) - ROW($B$2)</f>
        <v>17</v>
      </c>
      <c r="C19" s="12" t="s">
        <v>9</v>
      </c>
      <c r="D19" s="7" t="s">
        <v>31</v>
      </c>
      <c r="E19" s="8" t="s">
        <v>63</v>
      </c>
      <c r="F19" s="7" t="s">
        <v>87</v>
      </c>
      <c r="G19" s="18" t="s">
        <v>108</v>
      </c>
      <c r="H19" s="7" t="s">
        <v>131</v>
      </c>
      <c r="I19" s="8" t="s">
        <v>146</v>
      </c>
      <c r="J19" s="7">
        <v>1</v>
      </c>
      <c r="K19" s="7" t="s">
        <v>164</v>
      </c>
      <c r="L19" s="7"/>
    </row>
    <row r="20" spans="1:12" ht="15.75" thickBot="1" x14ac:dyDescent="0.3">
      <c r="A20" s="1"/>
      <c r="B20" s="11">
        <f t="shared" si="0"/>
        <v>18</v>
      </c>
      <c r="C20" s="13" t="s">
        <v>9</v>
      </c>
      <c r="D20" s="9" t="s">
        <v>32</v>
      </c>
      <c r="E20" s="10" t="s">
        <v>64</v>
      </c>
      <c r="F20" s="9" t="s">
        <v>87</v>
      </c>
      <c r="G20" s="19" t="s">
        <v>109</v>
      </c>
      <c r="H20" s="9" t="s">
        <v>131</v>
      </c>
      <c r="I20" s="10" t="s">
        <v>147</v>
      </c>
      <c r="J20" s="9">
        <v>1</v>
      </c>
      <c r="K20" s="7" t="s">
        <v>164</v>
      </c>
      <c r="L20" s="9"/>
    </row>
    <row r="21" spans="1:12" ht="36.75" thickBot="1" x14ac:dyDescent="0.3">
      <c r="A21" s="1"/>
      <c r="B21" s="11">
        <f>ROW(B21) - ROW($B$2)</f>
        <v>19</v>
      </c>
      <c r="C21" s="13" t="s">
        <v>9</v>
      </c>
      <c r="D21" s="7" t="s">
        <v>33</v>
      </c>
      <c r="E21" s="8" t="s">
        <v>65</v>
      </c>
      <c r="F21" s="7" t="s">
        <v>88</v>
      </c>
      <c r="G21" s="18" t="s">
        <v>110</v>
      </c>
      <c r="H21" s="7" t="s">
        <v>132</v>
      </c>
      <c r="I21" s="8" t="s">
        <v>148</v>
      </c>
      <c r="J21" s="7">
        <v>1</v>
      </c>
      <c r="K21" s="7" t="s">
        <v>164</v>
      </c>
      <c r="L21" s="7"/>
    </row>
    <row r="22" spans="1:12" ht="36.75" thickBot="1" x14ac:dyDescent="0.3">
      <c r="A22" s="1"/>
      <c r="B22" s="11">
        <f t="shared" si="0"/>
        <v>20</v>
      </c>
      <c r="C22" s="13" t="s">
        <v>10</v>
      </c>
      <c r="D22" s="9" t="s">
        <v>34</v>
      </c>
      <c r="E22" s="10" t="s">
        <v>66</v>
      </c>
      <c r="F22" s="9" t="s">
        <v>163</v>
      </c>
      <c r="G22" s="19" t="s">
        <v>89</v>
      </c>
      <c r="H22" s="9" t="s">
        <v>133</v>
      </c>
      <c r="I22" s="10" t="s">
        <v>149</v>
      </c>
      <c r="J22" s="9">
        <v>1</v>
      </c>
      <c r="K22" s="7" t="s">
        <v>164</v>
      </c>
      <c r="L22" s="9"/>
    </row>
    <row r="23" spans="1:12" ht="24.75" thickBot="1" x14ac:dyDescent="0.3">
      <c r="A23" s="1"/>
      <c r="B23" s="11">
        <f>ROW(B23) - ROW($B$2)</f>
        <v>21</v>
      </c>
      <c r="C23" s="12" t="s">
        <v>9</v>
      </c>
      <c r="D23" s="7" t="s">
        <v>35</v>
      </c>
      <c r="E23" s="8" t="s">
        <v>67</v>
      </c>
      <c r="F23" s="7" t="s">
        <v>87</v>
      </c>
      <c r="G23" s="18" t="s">
        <v>111</v>
      </c>
      <c r="H23" s="7" t="s">
        <v>131</v>
      </c>
      <c r="I23" s="8" t="s">
        <v>150</v>
      </c>
      <c r="J23" s="7">
        <v>14</v>
      </c>
      <c r="K23" s="7" t="s">
        <v>164</v>
      </c>
      <c r="L23" s="7"/>
    </row>
    <row r="24" spans="1:12" ht="36.75" thickBot="1" x14ac:dyDescent="0.3">
      <c r="A24" s="1"/>
      <c r="B24" s="11">
        <f t="shared" si="0"/>
        <v>22</v>
      </c>
      <c r="C24" s="13" t="s">
        <v>9</v>
      </c>
      <c r="D24" s="9" t="s">
        <v>36</v>
      </c>
      <c r="E24" s="10" t="s">
        <v>68</v>
      </c>
      <c r="F24" s="9" t="s">
        <v>88</v>
      </c>
      <c r="G24" s="19" t="s">
        <v>112</v>
      </c>
      <c r="H24" s="9" t="s">
        <v>131</v>
      </c>
      <c r="I24" s="10" t="s">
        <v>151</v>
      </c>
      <c r="J24" s="9">
        <v>2</v>
      </c>
      <c r="K24" s="7" t="s">
        <v>164</v>
      </c>
      <c r="L24" s="9"/>
    </row>
    <row r="25" spans="1:12" ht="15.75" thickBot="1" x14ac:dyDescent="0.3">
      <c r="A25" s="1"/>
      <c r="B25" s="11">
        <f>ROW(B25) - ROW($B$2)</f>
        <v>23</v>
      </c>
      <c r="C25" s="12" t="s">
        <v>9</v>
      </c>
      <c r="D25" s="7" t="s">
        <v>37</v>
      </c>
      <c r="E25" s="8" t="s">
        <v>69</v>
      </c>
      <c r="F25" s="7" t="s">
        <v>87</v>
      </c>
      <c r="G25" s="18" t="s">
        <v>113</v>
      </c>
      <c r="H25" s="7" t="s">
        <v>131</v>
      </c>
      <c r="I25" s="8" t="s">
        <v>152</v>
      </c>
      <c r="J25" s="7">
        <v>1</v>
      </c>
      <c r="K25" s="7" t="s">
        <v>164</v>
      </c>
      <c r="L25" s="7"/>
    </row>
    <row r="26" spans="1:12" ht="15.75" thickBot="1" x14ac:dyDescent="0.3">
      <c r="A26" s="1"/>
      <c r="B26" s="11">
        <f t="shared" si="0"/>
        <v>24</v>
      </c>
      <c r="C26" s="13" t="s">
        <v>9</v>
      </c>
      <c r="D26" s="9" t="s">
        <v>38</v>
      </c>
      <c r="E26" s="10" t="s">
        <v>70</v>
      </c>
      <c r="F26" s="9" t="s">
        <v>87</v>
      </c>
      <c r="G26" s="19" t="s">
        <v>114</v>
      </c>
      <c r="H26" s="9" t="s">
        <v>131</v>
      </c>
      <c r="I26" s="10" t="s">
        <v>153</v>
      </c>
      <c r="J26" s="9">
        <v>1</v>
      </c>
      <c r="K26" s="7" t="s">
        <v>164</v>
      </c>
      <c r="L26" s="9"/>
    </row>
    <row r="27" spans="1:12" ht="15.75" thickBot="1" x14ac:dyDescent="0.3">
      <c r="A27" s="1"/>
      <c r="B27" s="11">
        <f>ROW(B27) - ROW($B$2)</f>
        <v>25</v>
      </c>
      <c r="C27" s="12" t="s">
        <v>9</v>
      </c>
      <c r="D27" s="7" t="s">
        <v>39</v>
      </c>
      <c r="E27" s="8" t="s">
        <v>71</v>
      </c>
      <c r="F27" s="7" t="s">
        <v>88</v>
      </c>
      <c r="G27" s="18" t="s">
        <v>115</v>
      </c>
      <c r="H27" s="7" t="s">
        <v>131</v>
      </c>
      <c r="I27" s="8" t="s">
        <v>147</v>
      </c>
      <c r="J27" s="7">
        <v>1</v>
      </c>
      <c r="K27" s="7" t="s">
        <v>164</v>
      </c>
      <c r="L27" s="7"/>
    </row>
    <row r="28" spans="1:12" ht="27.75" customHeight="1" thickBot="1" x14ac:dyDescent="0.3">
      <c r="A28" s="1"/>
      <c r="B28" s="11">
        <f t="shared" si="0"/>
        <v>26</v>
      </c>
      <c r="C28" s="13" t="s">
        <v>11</v>
      </c>
      <c r="D28" s="9" t="s">
        <v>40</v>
      </c>
      <c r="E28" s="10" t="s">
        <v>72</v>
      </c>
      <c r="F28" s="9" t="s">
        <v>90</v>
      </c>
      <c r="G28" s="19" t="s">
        <v>90</v>
      </c>
      <c r="H28" s="9" t="s">
        <v>134</v>
      </c>
      <c r="I28" s="14" t="s">
        <v>164</v>
      </c>
      <c r="J28" s="9">
        <v>1</v>
      </c>
      <c r="K28" s="7" t="s">
        <v>164</v>
      </c>
      <c r="L28" s="9"/>
    </row>
    <row r="29" spans="1:12" ht="15.75" thickBot="1" x14ac:dyDescent="0.3">
      <c r="A29" s="1"/>
      <c r="B29" s="11">
        <f>ROW(B29) - ROW($B$2)</f>
        <v>27</v>
      </c>
      <c r="C29" s="13" t="s">
        <v>12</v>
      </c>
      <c r="D29" s="7" t="s">
        <v>41</v>
      </c>
      <c r="E29" s="8" t="s">
        <v>73</v>
      </c>
      <c r="F29" s="7" t="s">
        <v>91</v>
      </c>
      <c r="G29" s="18" t="s">
        <v>116</v>
      </c>
      <c r="H29" s="7" t="s">
        <v>135</v>
      </c>
      <c r="I29" s="14" t="s">
        <v>164</v>
      </c>
      <c r="J29" s="7">
        <v>1</v>
      </c>
      <c r="K29" s="7" t="s">
        <v>164</v>
      </c>
      <c r="L29" s="7"/>
    </row>
    <row r="30" spans="1:12" ht="15.75" thickBot="1" x14ac:dyDescent="0.3">
      <c r="A30" s="1"/>
      <c r="B30" s="11">
        <f t="shared" si="0"/>
        <v>28</v>
      </c>
      <c r="C30" s="13" t="s">
        <v>12</v>
      </c>
      <c r="D30" s="9" t="s">
        <v>42</v>
      </c>
      <c r="E30" s="10" t="s">
        <v>74</v>
      </c>
      <c r="F30" s="9" t="s">
        <v>92</v>
      </c>
      <c r="G30" s="19" t="s">
        <v>117</v>
      </c>
      <c r="H30" s="9" t="s">
        <v>136</v>
      </c>
      <c r="I30" s="14" t="s">
        <v>164</v>
      </c>
      <c r="J30" s="9">
        <v>1</v>
      </c>
      <c r="K30" s="7" t="s">
        <v>164</v>
      </c>
      <c r="L30" s="9"/>
    </row>
    <row r="31" spans="1:12" ht="41.25" customHeight="1" thickBot="1" x14ac:dyDescent="0.3">
      <c r="A31" s="1"/>
      <c r="B31" s="11">
        <f>ROW(B31) - ROW($B$2)</f>
        <v>29</v>
      </c>
      <c r="C31" s="13" t="s">
        <v>12</v>
      </c>
      <c r="D31" s="7" t="s">
        <v>43</v>
      </c>
      <c r="E31" s="8" t="s">
        <v>171</v>
      </c>
      <c r="F31" s="7" t="s">
        <v>172</v>
      </c>
      <c r="G31" s="8" t="s">
        <v>173</v>
      </c>
      <c r="H31" s="7" t="s">
        <v>137</v>
      </c>
      <c r="I31" s="8" t="s">
        <v>173</v>
      </c>
      <c r="J31" s="7">
        <v>2</v>
      </c>
      <c r="K31" s="7" t="s">
        <v>164</v>
      </c>
      <c r="L31" s="7"/>
    </row>
    <row r="32" spans="1:12" ht="25.5" customHeight="1" thickBot="1" x14ac:dyDescent="0.3">
      <c r="A32" s="1"/>
      <c r="B32" s="11">
        <f t="shared" si="0"/>
        <v>30</v>
      </c>
      <c r="C32" s="13" t="s">
        <v>12</v>
      </c>
      <c r="D32" s="9" t="s">
        <v>44</v>
      </c>
      <c r="E32" s="10" t="s">
        <v>75</v>
      </c>
      <c r="F32" s="9" t="s">
        <v>93</v>
      </c>
      <c r="G32" s="19" t="s">
        <v>118</v>
      </c>
      <c r="H32" s="9" t="s">
        <v>138</v>
      </c>
      <c r="I32" s="14" t="s">
        <v>164</v>
      </c>
      <c r="J32" s="9">
        <v>2</v>
      </c>
      <c r="K32" s="7" t="s">
        <v>164</v>
      </c>
      <c r="L32" s="9"/>
    </row>
    <row r="33" spans="1:12" ht="15.75" thickBot="1" x14ac:dyDescent="0.3">
      <c r="A33" s="1"/>
      <c r="B33" s="11">
        <f>ROW(B33) - ROW($B$2)</f>
        <v>31</v>
      </c>
      <c r="C33" s="12" t="s">
        <v>13</v>
      </c>
      <c r="D33" s="7" t="s">
        <v>45</v>
      </c>
      <c r="E33" s="8" t="s">
        <v>76</v>
      </c>
      <c r="F33" s="7" t="s">
        <v>162</v>
      </c>
      <c r="G33" s="18" t="s">
        <v>94</v>
      </c>
      <c r="H33" s="7" t="s">
        <v>139</v>
      </c>
      <c r="I33" s="8" t="s">
        <v>154</v>
      </c>
      <c r="J33" s="7">
        <v>1</v>
      </c>
      <c r="K33" s="7" t="s">
        <v>164</v>
      </c>
      <c r="L33" s="7"/>
    </row>
    <row r="34" spans="1:12" ht="15.75" thickBot="1" x14ac:dyDescent="0.3">
      <c r="A34" s="1"/>
      <c r="B34" s="11">
        <f t="shared" si="0"/>
        <v>32</v>
      </c>
      <c r="C34" s="13" t="s">
        <v>13</v>
      </c>
      <c r="D34" s="9" t="s">
        <v>46</v>
      </c>
      <c r="E34" s="10" t="s">
        <v>77</v>
      </c>
      <c r="F34" s="7" t="s">
        <v>162</v>
      </c>
      <c r="G34" s="19" t="s">
        <v>95</v>
      </c>
      <c r="H34" s="7" t="s">
        <v>140</v>
      </c>
      <c r="I34" s="10" t="s">
        <v>155</v>
      </c>
      <c r="J34" s="9">
        <v>1</v>
      </c>
      <c r="K34" s="7" t="s">
        <v>164</v>
      </c>
      <c r="L34" s="9"/>
    </row>
    <row r="35" spans="1:12" ht="15.75" thickBot="1" x14ac:dyDescent="0.3">
      <c r="B35" s="11">
        <v>33</v>
      </c>
      <c r="C35" s="13" t="s">
        <v>165</v>
      </c>
      <c r="D35" s="9"/>
      <c r="E35" s="10" t="s">
        <v>166</v>
      </c>
      <c r="F35" s="7"/>
      <c r="G35" s="19"/>
      <c r="H35" s="7"/>
      <c r="I35" s="7"/>
      <c r="J35" s="7">
        <v>1</v>
      </c>
      <c r="K35" s="24" t="s">
        <v>168</v>
      </c>
      <c r="L35" s="16"/>
    </row>
  </sheetData>
  <mergeCells count="1">
    <mergeCell ref="I1:L1"/>
  </mergeCells>
  <conditionalFormatting sqref="G1:G34 G36:G1048576">
    <cfRule type="duplicateValues" dxfId="1" priority="3"/>
  </conditionalFormatting>
  <conditionalFormatting sqref="G35">
    <cfRule type="duplicateValues" dxfId="0" priority="1"/>
  </conditionalFormatting>
  <hyperlinks>
    <hyperlink ref="K35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XPENDER</cp:lastModifiedBy>
  <dcterms:created xsi:type="dcterms:W3CDTF">2019-12-12T10:34:26Z</dcterms:created>
  <dcterms:modified xsi:type="dcterms:W3CDTF">2024-03-20T13:12:36Z</dcterms:modified>
</cp:coreProperties>
</file>